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Excel\MOCK TEST 1 NOV EXCEL\"/>
    </mc:Choice>
  </mc:AlternateContent>
  <xr:revisionPtr revIDLastSave="0" documentId="13_ncr:1_{02D081C6-1894-4C45-8B13-12DB7A6A9D2C}" xr6:coauthVersionLast="47" xr6:coauthVersionMax="47" xr10:uidLastSave="{00000000-0000-0000-0000-000000000000}"/>
  <bookViews>
    <workbookView xWindow="-108" yWindow="-108" windowWidth="23256" windowHeight="12456" xr2:uid="{5CDFF36A-ECB8-48F4-AD81-F6CBCE979252}"/>
  </bookViews>
  <sheets>
    <sheet name="Sales_data" sheetId="1" r:id="rId1"/>
    <sheet name="Product_master" sheetId="2" r:id="rId2"/>
    <sheet name="Monthly_targ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J12" i="1"/>
  <c r="E8" i="3"/>
  <c r="F8" i="3" s="1"/>
  <c r="J3" i="1"/>
  <c r="J4" i="1"/>
  <c r="J5" i="1"/>
  <c r="J6" i="1"/>
  <c r="J7" i="1"/>
  <c r="J8" i="1"/>
  <c r="J9" i="1"/>
  <c r="J10" i="1"/>
  <c r="J11" i="1"/>
  <c r="J2" i="1"/>
  <c r="H12" i="1"/>
  <c r="F11" i="3"/>
  <c r="F10" i="3"/>
  <c r="F9" i="3"/>
  <c r="E10" i="3"/>
  <c r="E9" i="3"/>
  <c r="E11" i="3"/>
  <c r="G2" i="1"/>
  <c r="I2" i="1"/>
  <c r="H2" i="1"/>
  <c r="I12" i="1" s="1"/>
  <c r="C21" i="1"/>
  <c r="C20" i="1"/>
  <c r="C19" i="1"/>
  <c r="I3" i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G3" i="1"/>
  <c r="G4" i="1"/>
  <c r="G5" i="1"/>
  <c r="G6" i="1"/>
</calcChain>
</file>

<file path=xl/sharedStrings.xml><?xml version="1.0" encoding="utf-8"?>
<sst xmlns="http://schemas.openxmlformats.org/spreadsheetml/2006/main" count="90" uniqueCount="56">
  <si>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</si>
  <si>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</si>
  <si>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</si>
  <si>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</si>
  <si>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</si>
  <si>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</si>
  <si>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</si>
  <si>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</si>
  <si>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</si>
  <si>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</si>
  <si>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</si>
  <si>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</si>
  <si>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</si>
  <si>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</si>
  <si>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</si>
  <si>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</si>
  <si>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</si>
  <si>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</si>
  <si>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</si>
  <si>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</si>
  <si>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</si>
  <si>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</si>
  <si>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</si>
  <si>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</si>
  <si>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</si>
  <si>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</si>
  <si>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</si>
  <si>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</si>
  <si>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</si>
  <si>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</si>
  <si>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</si>
  <si>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</si>
  <si>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</si>
  <si>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</si>
  <si>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</si>
  <si>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</si>
  <si>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</si>
  <si>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</si>
  <si>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</si>
  <si>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</si>
  <si>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</si>
  <si>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</si>
  <si>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</si>
  <si>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</si>
  <si>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</si>
  <si>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</si>
  <si>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Total sales  value</t>
  </si>
  <si>
    <t>Target Sales</t>
  </si>
  <si>
    <t>Actualt sales (sumif)</t>
  </si>
  <si>
    <t>price per unit (Vlookup)</t>
  </si>
  <si>
    <t>product name (vlookup)</t>
  </si>
  <si>
    <t>Total revenue</t>
  </si>
  <si>
    <t xml:space="preserve">Actual sales </t>
  </si>
  <si>
    <t xml:space="preserve"> Regional Target ( hlookup)</t>
  </si>
  <si>
    <t>Variance</t>
  </si>
  <si>
    <t>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</si>
</sst>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DD3E-7699-4DA5-8135-3E7B242149D6}">
  <dimension ref="A1:K21"/>
  <sheetViews>
    <sheetView tabSelected="1" zoomScale="86" workbookViewId="0">
      <selection activeCell="C18" sqref="C18"/>
    </sheetView>
  </sheetViews>
  <sheetFormatPr defaultRowHeight="14.4"/>
  <cols>
    <col min="2" max="2" width="15.77734375" customWidth="1"/>
    <col min="3" max="3" width="18.21875" customWidth="1"/>
    <col min="4" max="4" width="15.21875" customWidth="1"/>
    <col min="6" max="6" width="20.33203125" customWidth="1"/>
    <col min="7" max="7" width="12.109375" customWidth="1"/>
    <col min="8" max="8" width="16.44140625" customWidth="1"/>
  </cols>
  <sheetData>
    <row r="1" spans="1:11" ht="40.79999999999999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50</v>
      </c>
      <c r="H1" s="4" t="s">
        <v>49</v>
      </c>
      <c r="I1" s="4" t="s">
        <v>46</v>
      </c>
      <c r="J1" s="4" t="s">
        <v>51</v>
      </c>
      <c r="K1" s="4" t="s">
        <v>55</v>
      </c>
    </row>
    <row r="2" spans="1:11" ht="15" thickBot="1">
      <c r="A2" s="2" t="s">
        <v>6</v>
      </c>
      <c r="B2" s="2" t="s">
        <v>7</v>
      </c>
      <c r="C2" s="2" t="s">
        <v>8</v>
      </c>
      <c r="D2" s="2" t="s">
        <v>9</v>
      </c>
      <c r="E2" s="3">
        <v>15</v>
      </c>
      <c r="F2" s="3">
        <v>45000</v>
      </c>
      <c r="G2" t="str">
        <f>VLOOKUP(D2,Product_master!A2:D6, 2, FALSE)</f>
        <v>Laptop</v>
      </c>
      <c r="H2">
        <f>VLOOKUP(D2, Product_master!$A$2:$D$6, 4, FALSE)</f>
        <v>3000</v>
      </c>
      <c r="I2">
        <f>E2 * H2</f>
        <v>45000</v>
      </c>
      <c r="J2">
        <f>SUM(I2:I11)</f>
        <v>636000</v>
      </c>
      <c r="K2">
        <v>-335544.32000000001</v>
      </c>
    </row>
    <row r="3" spans="1:11" ht="27.6" thickBot="1">
      <c r="A3" s="2" t="s">
        <v>10</v>
      </c>
      <c r="B3" s="2" t="s">
        <v>11</v>
      </c>
      <c r="C3" s="2" t="s">
        <v>12</v>
      </c>
      <c r="D3" s="2" t="s">
        <v>13</v>
      </c>
      <c r="E3" s="3">
        <v>20</v>
      </c>
      <c r="F3" s="3">
        <v>60000</v>
      </c>
      <c r="G3" t="str">
        <f>VLOOKUP(D3,Product_master!A3:D7, 2, FALSE)</f>
        <v>Smartphone</v>
      </c>
      <c r="H3">
        <f>VLOOKUP(D3, Product_master!$A$2:$D$6, 4, FALSE)</f>
        <v>3000</v>
      </c>
      <c r="I3">
        <f t="shared" ref="I3:I11" si="0">E3 * H3</f>
        <v>60000</v>
      </c>
      <c r="J3">
        <f t="shared" ref="J3:J11" si="1">SUM(I3:I12)</f>
        <v>1227000</v>
      </c>
    </row>
    <row r="4" spans="1:11" ht="27.6" thickBot="1">
      <c r="A4" s="2" t="s">
        <v>14</v>
      </c>
      <c r="B4" s="2" t="s">
        <v>15</v>
      </c>
      <c r="C4" s="2" t="s">
        <v>16</v>
      </c>
      <c r="D4" s="2" t="s">
        <v>17</v>
      </c>
      <c r="E4" s="3">
        <v>10</v>
      </c>
      <c r="F4" s="3">
        <v>35000</v>
      </c>
      <c r="G4" t="str">
        <f>VLOOKUP(D4,Product_master!A4:D8, 2, FALSE)</f>
        <v>Headphones</v>
      </c>
      <c r="H4">
        <f>VLOOKUP(D4, Product_master!$A$2:$D$6, 4, FALSE)</f>
        <v>3500</v>
      </c>
      <c r="I4">
        <f t="shared" si="0"/>
        <v>35000</v>
      </c>
      <c r="J4">
        <f t="shared" si="1"/>
        <v>1167000</v>
      </c>
    </row>
    <row r="5" spans="1:11" ht="27.6" thickBot="1">
      <c r="A5" s="2" t="s">
        <v>18</v>
      </c>
      <c r="B5" s="2" t="s">
        <v>19</v>
      </c>
      <c r="C5" s="2" t="s">
        <v>20</v>
      </c>
      <c r="D5" s="2" t="s">
        <v>21</v>
      </c>
      <c r="E5" s="3">
        <v>25</v>
      </c>
      <c r="F5" s="3">
        <v>125000</v>
      </c>
      <c r="G5" t="str">
        <f>VLOOKUP(D5,Product_master!A5:D9, 2, FALSE)</f>
        <v>Printer</v>
      </c>
      <c r="H5">
        <f>VLOOKUP(D5, Product_master!$A$2:$D$6, 4, FALSE)</f>
        <v>5000</v>
      </c>
      <c r="I5">
        <f t="shared" si="0"/>
        <v>125000</v>
      </c>
      <c r="J5">
        <f t="shared" si="1"/>
        <v>1132000</v>
      </c>
    </row>
    <row r="6" spans="1:11" ht="27.6" thickBot="1">
      <c r="A6" s="2" t="s">
        <v>22</v>
      </c>
      <c r="B6" s="2" t="s">
        <v>23</v>
      </c>
      <c r="C6" s="2" t="s">
        <v>8</v>
      </c>
      <c r="D6" s="2" t="s">
        <v>24</v>
      </c>
      <c r="E6" s="3">
        <v>12</v>
      </c>
      <c r="F6" s="3">
        <v>48000</v>
      </c>
      <c r="G6" t="str">
        <f>VLOOKUP(D6,Product_master!A6:D10, 2, FALSE)</f>
        <v>Monitor</v>
      </c>
      <c r="H6">
        <f>VLOOKUP(D6, Product_master!$A$2:$D$6, 4, FALSE)</f>
        <v>4000</v>
      </c>
      <c r="I6">
        <f t="shared" si="0"/>
        <v>48000</v>
      </c>
      <c r="J6">
        <f t="shared" si="1"/>
        <v>1007000</v>
      </c>
    </row>
    <row r="7" spans="1:11" ht="27.6" thickBot="1">
      <c r="A7" s="2" t="s">
        <v>25</v>
      </c>
      <c r="B7" s="2" t="s">
        <v>26</v>
      </c>
      <c r="C7" s="2" t="s">
        <v>16</v>
      </c>
      <c r="D7" s="2" t="s">
        <v>13</v>
      </c>
      <c r="E7" s="3">
        <v>18</v>
      </c>
      <c r="F7" s="3">
        <v>54000</v>
      </c>
      <c r="H7">
        <f>VLOOKUP(D7, Product_master!$A$2:$D$6, 4, FALSE)</f>
        <v>3000</v>
      </c>
      <c r="I7">
        <f t="shared" si="0"/>
        <v>54000</v>
      </c>
      <c r="J7">
        <f t="shared" si="1"/>
        <v>959000</v>
      </c>
    </row>
    <row r="8" spans="1:11" ht="27.6" thickBot="1">
      <c r="A8" s="2" t="s">
        <v>27</v>
      </c>
      <c r="B8" s="2" t="s">
        <v>28</v>
      </c>
      <c r="C8" s="2" t="s">
        <v>12</v>
      </c>
      <c r="D8" s="2" t="s">
        <v>17</v>
      </c>
      <c r="E8" s="3">
        <v>22</v>
      </c>
      <c r="F8" s="3">
        <v>77000</v>
      </c>
      <c r="H8">
        <f>VLOOKUP(D8, Product_master!$A$2:$D$6, 4, FALSE)</f>
        <v>3500</v>
      </c>
      <c r="I8">
        <f t="shared" si="0"/>
        <v>77000</v>
      </c>
      <c r="J8">
        <f t="shared" si="1"/>
        <v>905000</v>
      </c>
    </row>
    <row r="9" spans="1:11" ht="15" thickBot="1">
      <c r="A9" s="2" t="s">
        <v>29</v>
      </c>
      <c r="B9" s="2" t="s">
        <v>30</v>
      </c>
      <c r="C9" s="2" t="s">
        <v>20</v>
      </c>
      <c r="D9" s="2" t="s">
        <v>9</v>
      </c>
      <c r="E9" s="3">
        <v>30</v>
      </c>
      <c r="F9" s="3">
        <v>90000</v>
      </c>
      <c r="H9">
        <f>VLOOKUP(D9, Product_master!$A$2:$D$6, 4, FALSE)</f>
        <v>3000</v>
      </c>
      <c r="I9">
        <f t="shared" si="0"/>
        <v>90000</v>
      </c>
      <c r="J9">
        <f t="shared" si="1"/>
        <v>828000</v>
      </c>
    </row>
    <row r="10" spans="1:11" ht="15" thickBot="1">
      <c r="A10" s="2" t="s">
        <v>31</v>
      </c>
      <c r="B10" s="2" t="s">
        <v>32</v>
      </c>
      <c r="C10" s="2" t="s">
        <v>8</v>
      </c>
      <c r="D10" s="2" t="s">
        <v>21</v>
      </c>
      <c r="E10" s="3">
        <v>14</v>
      </c>
      <c r="F10" s="3">
        <v>70000</v>
      </c>
      <c r="H10">
        <f>VLOOKUP(D10, Product_master!$A$2:$D$6, 4, FALSE)</f>
        <v>5000</v>
      </c>
      <c r="I10">
        <f t="shared" si="0"/>
        <v>70000</v>
      </c>
      <c r="J10">
        <f t="shared" si="1"/>
        <v>738000</v>
      </c>
    </row>
    <row r="11" spans="1:11" ht="27.6" thickBot="1">
      <c r="A11" s="2" t="s">
        <v>33</v>
      </c>
      <c r="B11" s="2" t="s">
        <v>34</v>
      </c>
      <c r="C11" s="2" t="s">
        <v>16</v>
      </c>
      <c r="D11" s="2" t="s">
        <v>24</v>
      </c>
      <c r="E11" s="3">
        <v>8</v>
      </c>
      <c r="F11" s="3">
        <v>32000</v>
      </c>
      <c r="H11">
        <f>VLOOKUP(D11, Product_master!$A$2:$D$6, 4, FALSE)</f>
        <v>4000</v>
      </c>
      <c r="I11">
        <f t="shared" si="0"/>
        <v>32000</v>
      </c>
      <c r="J11">
        <f t="shared" si="1"/>
        <v>668000</v>
      </c>
    </row>
    <row r="12" spans="1:11">
      <c r="H12">
        <f>SUM(H2:H11)</f>
        <v>37000</v>
      </c>
      <c r="I12">
        <f>SUM(I2:I11)</f>
        <v>636000</v>
      </c>
      <c r="J12">
        <f>SUM(J2:J11)</f>
        <v>9267000</v>
      </c>
    </row>
    <row r="17" spans="2:9" ht="15" thickBot="1">
      <c r="B17" s="5" t="s">
        <v>2</v>
      </c>
      <c r="C17" s="5" t="s">
        <v>48</v>
      </c>
    </row>
    <row r="18" spans="2:9" ht="15" thickBot="1">
      <c r="B18" s="6" t="s">
        <v>8</v>
      </c>
      <c r="C18" s="7">
        <f>SUMIF($C$2:$C$11,"North",$F$2:$F$11)</f>
        <v>163000</v>
      </c>
      <c r="H18" s="1"/>
      <c r="I18" s="1"/>
    </row>
    <row r="19" spans="2:9" ht="15" thickBot="1">
      <c r="B19" s="6" t="s">
        <v>12</v>
      </c>
      <c r="C19" s="7">
        <f>SUMIF($C$2:$C$11,"South",$F$2:$F$11)</f>
        <v>137000</v>
      </c>
      <c r="H19" s="2"/>
      <c r="I19" s="3"/>
    </row>
    <row r="20" spans="2:9">
      <c r="B20" s="6" t="s">
        <v>16</v>
      </c>
      <c r="C20" s="7">
        <f>SUMIF($C$2:$C$11,"East",$F$2:$F$11)</f>
        <v>121000</v>
      </c>
    </row>
    <row r="21" spans="2:9">
      <c r="B21" s="6" t="s">
        <v>20</v>
      </c>
      <c r="C21" s="7">
        <f>SUMIF($C$2:$C$11,"West",$F$2:$F$11)</f>
        <v>215000</v>
      </c>
    </row>
  </sheetData>
  <dataValidations count="2">
    <dataValidation type="whole" operator="greaterThanOrEqual" allowBlank="1" showInputMessage="1" showErrorMessage="1" sqref="K18" xr:uid="{75C102EB-064E-4840-A3BB-5A28FE7D7264}">
      <formula1>75000</formula1>
    </dataValidation>
    <dataValidation type="list" allowBlank="1" showInputMessage="1" showErrorMessage="1" sqref="C2:C11" xr:uid="{BD0F3AC4-641A-4C07-A66C-21A79DD69CDF}">
      <formula1>$C$2:$C$5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9D81-3D29-4DAB-A424-6554FF42F28D}">
  <dimension ref="A1:D6"/>
  <sheetViews>
    <sheetView workbookViewId="0">
      <selection sqref="A1:D6"/>
    </sheetView>
  </sheetViews>
  <sheetFormatPr defaultRowHeight="14.4"/>
  <cols>
    <col min="2" max="2" width="14" customWidth="1"/>
    <col min="3" max="3" width="20" customWidth="1"/>
    <col min="4" max="4" width="26.88671875" customWidth="1"/>
  </cols>
  <sheetData>
    <row r="1" spans="1:4" ht="27.6" thickBot="1">
      <c r="A1" s="1" t="s">
        <v>3</v>
      </c>
      <c r="B1" s="1" t="s">
        <v>35</v>
      </c>
      <c r="C1" s="1" t="s">
        <v>36</v>
      </c>
      <c r="D1" s="1" t="s">
        <v>37</v>
      </c>
    </row>
    <row r="2" spans="1:4" ht="27.6" thickBot="1">
      <c r="A2" s="2" t="s">
        <v>9</v>
      </c>
      <c r="B2" s="2" t="s">
        <v>38</v>
      </c>
      <c r="C2" s="2" t="s">
        <v>39</v>
      </c>
      <c r="D2" s="3">
        <v>3000</v>
      </c>
    </row>
    <row r="3" spans="1:4" ht="27.6" thickBot="1">
      <c r="A3" s="2" t="s">
        <v>13</v>
      </c>
      <c r="B3" s="2" t="s">
        <v>40</v>
      </c>
      <c r="C3" s="2" t="s">
        <v>39</v>
      </c>
      <c r="D3" s="3">
        <v>3000</v>
      </c>
    </row>
    <row r="4" spans="1:4" ht="27.6" thickBot="1">
      <c r="A4" s="2" t="s">
        <v>17</v>
      </c>
      <c r="B4" s="2" t="s">
        <v>41</v>
      </c>
      <c r="C4" s="2" t="s">
        <v>42</v>
      </c>
      <c r="D4" s="3">
        <v>3500</v>
      </c>
    </row>
    <row r="5" spans="1:4" ht="27.6" thickBot="1">
      <c r="A5" s="2" t="s">
        <v>21</v>
      </c>
      <c r="B5" s="2" t="s">
        <v>43</v>
      </c>
      <c r="C5" s="2" t="s">
        <v>44</v>
      </c>
      <c r="D5" s="3">
        <v>5000</v>
      </c>
    </row>
    <row r="6" spans="1:4" ht="27.6" thickBot="1">
      <c r="A6" s="2" t="s">
        <v>24</v>
      </c>
      <c r="B6" s="2" t="s">
        <v>45</v>
      </c>
      <c r="C6" s="2" t="s">
        <v>39</v>
      </c>
      <c r="D6" s="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7A79-D478-41AD-931C-D4A6520DA462}">
  <dimension ref="A1:F12"/>
  <sheetViews>
    <sheetView workbookViewId="0">
      <selection activeCell="F8" sqref="F8:F11"/>
    </sheetView>
  </sheetViews>
  <sheetFormatPr defaultRowHeight="14.4"/>
  <cols>
    <col min="4" max="4" width="10.5546875" customWidth="1"/>
    <col min="5" max="5" width="22.77734375" customWidth="1"/>
  </cols>
  <sheetData>
    <row r="1" spans="1:6" ht="15" thickBot="1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6" ht="27.6" thickBot="1">
      <c r="A2" s="2" t="s">
        <v>47</v>
      </c>
      <c r="B2" s="3">
        <v>150000</v>
      </c>
      <c r="C2" s="3">
        <v>140000</v>
      </c>
      <c r="D2" s="3">
        <v>120000</v>
      </c>
      <c r="E2" s="3">
        <v>160000</v>
      </c>
    </row>
    <row r="7" spans="1:6">
      <c r="C7" s="5" t="s">
        <v>2</v>
      </c>
      <c r="D7" t="s">
        <v>52</v>
      </c>
      <c r="E7" t="s">
        <v>53</v>
      </c>
      <c r="F7" t="s">
        <v>54</v>
      </c>
    </row>
    <row r="8" spans="1:6">
      <c r="B8" s="5"/>
      <c r="C8" s="6" t="s">
        <v>8</v>
      </c>
      <c r="D8">
        <v>163000</v>
      </c>
      <c r="E8">
        <f>HLOOKUP(C8,$B$1:$E$2,2,TRUE)</f>
        <v>150000</v>
      </c>
      <c r="F8">
        <f>D8-E8</f>
        <v>13000</v>
      </c>
    </row>
    <row r="9" spans="1:6">
      <c r="B9" s="6"/>
      <c r="C9" s="6" t="s">
        <v>12</v>
      </c>
      <c r="D9">
        <v>137000</v>
      </c>
      <c r="E9">
        <f t="shared" ref="E9:E11" si="0">HLOOKUP(C9,$B$1:$E$2,2,TRUE)</f>
        <v>140000</v>
      </c>
      <c r="F9">
        <f>D9-E9</f>
        <v>-3000</v>
      </c>
    </row>
    <row r="10" spans="1:6">
      <c r="B10" s="6"/>
      <c r="C10" s="6" t="s">
        <v>16</v>
      </c>
      <c r="D10">
        <v>121000</v>
      </c>
      <c r="E10">
        <f>HLOOKUP(C10,$B$1:$E$2,2,FALSE)</f>
        <v>120000</v>
      </c>
      <c r="F10">
        <f>D10-E10</f>
        <v>1000</v>
      </c>
    </row>
    <row r="11" spans="1:6">
      <c r="B11" s="6"/>
      <c r="C11" s="6" t="s">
        <v>20</v>
      </c>
      <c r="D11">
        <v>215000</v>
      </c>
      <c r="E11">
        <f t="shared" si="0"/>
        <v>160000</v>
      </c>
      <c r="F11">
        <f>D11-E11</f>
        <v>55000</v>
      </c>
    </row>
    <row r="12" spans="1:6">
      <c r="B12" s="6"/>
      <c r="C12" s="7"/>
    </row>
  </sheetData>
  <conditionalFormatting sqref="F8:F11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Gandhare</dc:creator>
  <cp:lastModifiedBy>Ayushi Gandhare</cp:lastModifiedBy>
  <dcterms:created xsi:type="dcterms:W3CDTF">2025-11-01T06:38:25Z</dcterms:created>
  <dcterms:modified xsi:type="dcterms:W3CDTF">2025-11-01T14:33:40Z</dcterms:modified>
</cp:coreProperties>
</file>